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0020223\Downloads\"/>
    </mc:Choice>
  </mc:AlternateContent>
  <xr:revisionPtr revIDLastSave="0" documentId="13_ncr:1_{3178D290-67C2-4E80-9376-EAD35096EF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édia Mensal" sheetId="1" r:id="rId1"/>
    <sheet name="Resumo Mensal" sheetId="2" r:id="rId2"/>
    <sheet name="Cadastro" sheetId="3" r:id="rId3"/>
    <sheet name="Projeto" sheetId="4" r:id="rId4"/>
  </sheets>
  <definedNames>
    <definedName name="_xlnm._FilterDatabase" localSheetId="0" hidden="1">'Média Mensal'!$A$1:$P$16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E13" i="2"/>
  <c r="D13" i="2"/>
  <c r="B12" i="2"/>
  <c r="E12" i="2"/>
  <c r="D12" i="2"/>
  <c r="B11" i="2"/>
  <c r="E11" i="2"/>
  <c r="D11" i="2"/>
  <c r="B10" i="2"/>
  <c r="E10" i="2"/>
  <c r="D10" i="2"/>
  <c r="B9" i="2"/>
  <c r="E9" i="2"/>
  <c r="D9" i="2"/>
  <c r="B8" i="2"/>
  <c r="E8" i="2"/>
  <c r="D8" i="2"/>
  <c r="B7" i="2"/>
  <c r="E7" i="2"/>
  <c r="D7" i="2"/>
  <c r="B6" i="2"/>
  <c r="E6" i="2"/>
  <c r="D6" i="2"/>
  <c r="B5" i="2"/>
  <c r="E5" i="2"/>
  <c r="D5" i="2"/>
  <c r="B4" i="2"/>
  <c r="E4" i="2"/>
  <c r="D4" i="2"/>
  <c r="B3" i="2"/>
  <c r="E3" i="2"/>
  <c r="D3" i="2"/>
  <c r="B2" i="2"/>
  <c r="E2" i="2"/>
  <c r="D2" i="2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<sst xmlns="http://schemas.openxmlformats.org/spreadsheetml/2006/main" count="143" uniqueCount="86">
  <si>
    <t>Motorista</t>
  </si>
  <si>
    <t>Caminhão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</si>
  <si>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</si>
  <si>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</si>
  <si>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</si>
  <si>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</si>
  <si>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</si>
  <si>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</si>
  <si>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</si>
  <si>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</si>
  <si>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</si>
  <si>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</si>
  <si>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</si>
  <si>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</si>
  <si>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Média do ano</t>
  </si>
  <si>
    <t>Carlos Mendes</t>
  </si>
  <si>
    <t>ARD-001</t>
  </si>
  <si>
    <t>João Ribeiro</t>
  </si>
  <si>
    <t>ARD-002</t>
  </si>
  <si>
    <t>Marcos Oliveira</t>
  </si>
  <si>
    <t>ARD-003</t>
  </si>
  <si>
    <t>Rafael Santos</t>
  </si>
  <si>
    <t>ARD-004</t>
  </si>
  <si>
    <t>Lucas Ferreira</t>
  </si>
  <si>
    <t>ARD-005</t>
  </si>
  <si>
    <t>Bruno Almeida</t>
  </si>
  <si>
    <t>ARD-006</t>
  </si>
  <si>
    <t>André Martins</t>
  </si>
  <si>
    <t>ARD-007</t>
  </si>
  <si>
    <t>Diego Carvalho</t>
  </si>
  <si>
    <t>ARD-008</t>
  </si>
  <si>
    <t>Felipe Rodrigues</t>
  </si>
  <si>
    <t>ARD-009</t>
  </si>
  <si>
    <t>Gustavo Pereira</t>
  </si>
  <si>
    <t>ARD-010</t>
  </si>
  <si>
    <t>Renato Costa</t>
  </si>
  <si>
    <t>ARD-011</t>
  </si>
  <si>
    <t>Thiago Nunes</t>
  </si>
  <si>
    <t>ARD-012</t>
  </si>
  <si>
    <t>Eduardo Lima</t>
  </si>
  <si>
    <t>ARD-013</t>
  </si>
  <si>
    <t>Vinícius Rocha</t>
  </si>
  <si>
    <t>ARD-014</t>
  </si>
  <si>
    <t>Mateus Barbosa</t>
  </si>
  <si>
    <t>ARD-015</t>
  </si>
  <si>
    <t>Mês</t>
  </si>
  <si>
    <t>Média da frota (km/L)</t>
  </si>
  <si>
    <t>Meta (km/L)</t>
  </si>
  <si>
    <t>Registros preenchidos</t>
  </si>
  <si>
    <t>Status</t>
  </si>
  <si>
    <t>RFID</t>
  </si>
  <si>
    <t>Observação</t>
  </si>
  <si>
    <t>RFID-001</t>
  </si>
  <si>
    <t>Identificação do cadastro</t>
  </si>
  <si>
    <t>RFID-002</t>
  </si>
  <si>
    <t>RFID-003</t>
  </si>
  <si>
    <t>RFID-004</t>
  </si>
  <si>
    <t>RFID-005</t>
  </si>
  <si>
    <t>RFID-006</t>
  </si>
  <si>
    <t>RFID-007</t>
  </si>
  <si>
    <t>RFID-008</t>
  </si>
  <si>
    <t>RFID-009</t>
  </si>
  <si>
    <t>RFID-010</t>
  </si>
  <si>
    <t>RFID-011</t>
  </si>
  <si>
    <t>RFID-012</t>
  </si>
  <si>
    <t>RFID-013</t>
  </si>
  <si>
    <t>RFID-014</t>
  </si>
  <si>
    <t>RFID-015</t>
  </si>
  <si>
    <t>ARDIGO TRANSPORTES - CONTROLE DE MÉDIA DE CONSUMO</t>
  </si>
  <si>
    <t>IMPORTANTE: esta planilha é um MODELO DEMONSTRATIVO para o Projeto Integrador.</t>
  </si>
  <si>
    <t>Os nomes dos motoristas, códigos dos caminhões e números de consumo foram criados apenas para simulação.</t>
  </si>
  <si>
    <t>Eles não representam funcionários, frota ou dados internos reais da Ardigo Transportes.</t>
  </si>
  <si>
    <t>Dados públicos encontrados sobre a empresa:</t>
  </si>
  <si>
    <t>• Nome fantasia: Ardigo Transportes.</t>
  </si>
  <si>
    <t>• Sede: Campo Largo - PR.</t>
  </si>
  <si>
    <t>• Atividade: transporte rodoviário de carga.</t>
  </si>
  <si>
    <t>• O site oficial informa atuação no Paraná, São Paulo, Mato Grosso do Sul e Goiás.</t>
  </si>
  <si>
    <t>• O site oficial informa frota própria e motoristas treinados/capacitados.</t>
  </si>
  <si>
    <t>Como usar:</t>
  </si>
  <si>
    <t>1. Na aba 'Média Mensal', cada motorista aparece uma única vez.</t>
  </si>
  <si>
    <t>2. Preencha a média km/L de cada mês.</t>
  </si>
  <si>
    <t>3. Outubro, novembro e dezembro estão vazios para preenchimento futuro.</t>
  </si>
  <si>
    <t>4. A coluna 'Média do ano' calcula automaticamente a média dos meses preenchidos.</t>
  </si>
  <si>
    <t>5. A aba 'Resumo Mensal' calcula a média da frota e compara com a meta.</t>
  </si>
  <si>
    <t>6. A aba 'Cadastro' reúne motorista, caminhão e identificação RFID acompanhamentos.</t>
  </si>
  <si>
    <t>João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</si>
</sst>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Evolução da média de consumo da frota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'Resumo Mensal'!$B$1</c:f>
              <c:strCache>
                <c:ptCount val="1"/>
                <c:pt idx="0">
                  <c:v>Média da frota (km/L)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'Resumo Mensal'!$A$2:$A$13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'Resumo Mensal'!$B$2:$B$13</c:f>
              <c:numCache>
                <c:formatCode>0.00</c:formatCode>
                <c:ptCount val="12"/>
                <c:pt idx="0">
                  <c:v>3.0173333333333332</c:v>
                </c:pt>
                <c:pt idx="1">
                  <c:v>3.0439999999999996</c:v>
                </c:pt>
                <c:pt idx="2">
                  <c:v>3.071333333333333</c:v>
                </c:pt>
                <c:pt idx="3">
                  <c:v>3.0946666666666669</c:v>
                </c:pt>
                <c:pt idx="4">
                  <c:v>3.1166666666666671</c:v>
                </c:pt>
                <c:pt idx="5">
                  <c:v>3.1226666666666665</c:v>
                </c:pt>
                <c:pt idx="6">
                  <c:v>3.1426666666666665</c:v>
                </c:pt>
                <c:pt idx="7">
                  <c:v>3.162666666666667</c:v>
                </c:pt>
                <c:pt idx="8">
                  <c:v>3.1406666666666667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80-2745-824C-E9FA87A19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km/L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3" sqref="A3"/>
    </sheetView>
  </sheetViews>
  <sheetFormatPr defaultRowHeight="15" x14ac:dyDescent="0.25"/>
  <cols>
    <col min="1" max="1" width="23" customWidth="1"/>
    <col min="2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>
        <v>3.18</v>
      </c>
      <c r="D2" s="3">
        <v>3.22</v>
      </c>
      <c r="E2" s="3">
        <v>3.2</v>
      </c>
      <c r="F2" s="3">
        <v>3.25</v>
      </c>
      <c r="G2" s="3">
        <v>3.27</v>
      </c>
      <c r="H2" s="3">
        <v>3.24</v>
      </c>
      <c r="I2" s="3">
        <v>3.28</v>
      </c>
      <c r="J2" s="3">
        <v>3.3</v>
      </c>
      <c r="K2" s="3">
        <v>3.26</v>
      </c>
      <c r="L2" s="2"/>
      <c r="M2" s="2"/>
      <c r="N2" s="2"/>
      <c r="O2" s="3">
        <f t="shared" ref="O2:O16" si="0">IFERROR(AVERAGE(C2:N2),"")</f>
        <v>3.2444444444444449</v>
      </c>
    </row>
    <row r="3" spans="1:15" x14ac:dyDescent="0.25">
      <c r="A3" s="2" t="s">
        <v>85</v>
      </c>
      <c r="B3" s="2" t="s">
        <v>18</v>
      </c>
      <c r="C3" s="3">
        <v>3.02</v>
      </c>
      <c r="D3" s="3">
        <v>3.05</v>
      </c>
      <c r="E3" s="3">
        <v>3.08</v>
      </c>
      <c r="F3" s="3">
        <v>3.1</v>
      </c>
      <c r="G3" s="3">
        <v>3.12</v>
      </c>
      <c r="H3" s="3">
        <v>3.09</v>
      </c>
      <c r="I3" s="3">
        <v>3.14</v>
      </c>
      <c r="J3" s="3">
        <v>3.16</v>
      </c>
      <c r="K3" s="3">
        <v>3.11</v>
      </c>
      <c r="L3" s="2"/>
      <c r="M3" s="2"/>
      <c r="N3" s="2"/>
      <c r="O3" s="3">
        <f t="shared" si="0"/>
        <v>3.0966666666666667</v>
      </c>
    </row>
    <row r="4" spans="1:15" x14ac:dyDescent="0.25">
      <c r="A4" s="2" t="s">
        <v>19</v>
      </c>
      <c r="B4" s="2" t="s">
        <v>20</v>
      </c>
      <c r="C4" s="3">
        <v>2.78</v>
      </c>
      <c r="D4" s="3">
        <v>2.82</v>
      </c>
      <c r="E4" s="3">
        <v>2.85</v>
      </c>
      <c r="F4" s="3">
        <v>2.88</v>
      </c>
      <c r="G4" s="3">
        <v>2.91</v>
      </c>
      <c r="H4" s="3">
        <v>2.89</v>
      </c>
      <c r="I4" s="3">
        <v>2.94</v>
      </c>
      <c r="J4" s="3">
        <v>2.96</v>
      </c>
      <c r="K4" s="3">
        <v>2.92</v>
      </c>
      <c r="L4" s="2"/>
      <c r="M4" s="2"/>
      <c r="N4" s="2"/>
      <c r="O4" s="3">
        <f t="shared" si="0"/>
        <v>2.8833333333333337</v>
      </c>
    </row>
    <row r="5" spans="1:15" x14ac:dyDescent="0.25">
      <c r="A5" s="2" t="s">
        <v>21</v>
      </c>
      <c r="B5" s="2" t="s">
        <v>22</v>
      </c>
      <c r="C5" s="3">
        <v>3.08</v>
      </c>
      <c r="D5" s="3">
        <v>3.11</v>
      </c>
      <c r="E5" s="3">
        <v>3.14</v>
      </c>
      <c r="F5" s="3">
        <v>3.13</v>
      </c>
      <c r="G5" s="3">
        <v>3.17</v>
      </c>
      <c r="H5" s="3">
        <v>3.16</v>
      </c>
      <c r="I5" s="3">
        <v>3.19</v>
      </c>
      <c r="J5" s="3">
        <v>3.21</v>
      </c>
      <c r="K5" s="3">
        <v>3.18</v>
      </c>
      <c r="L5" s="2"/>
      <c r="M5" s="2"/>
      <c r="N5" s="2"/>
      <c r="O5" s="3">
        <f t="shared" si="0"/>
        <v>3.1522222222222225</v>
      </c>
    </row>
    <row r="6" spans="1:15" x14ac:dyDescent="0.25">
      <c r="A6" s="2" t="s">
        <v>23</v>
      </c>
      <c r="B6" s="2" t="s">
        <v>24</v>
      </c>
      <c r="C6" s="3">
        <v>2.94</v>
      </c>
      <c r="D6" s="3">
        <v>2.98</v>
      </c>
      <c r="E6" s="3">
        <v>3.01</v>
      </c>
      <c r="F6" s="3">
        <v>3.04</v>
      </c>
      <c r="G6" s="3">
        <v>3.06</v>
      </c>
      <c r="H6" s="3">
        <v>3.08</v>
      </c>
      <c r="I6" s="3">
        <v>3.1</v>
      </c>
      <c r="J6" s="3">
        <v>3.12</v>
      </c>
      <c r="K6" s="3">
        <v>3.09</v>
      </c>
      <c r="L6" s="2"/>
      <c r="M6" s="2"/>
      <c r="N6" s="2"/>
      <c r="O6" s="3">
        <f t="shared" si="0"/>
        <v>3.0466666666666669</v>
      </c>
    </row>
    <row r="7" spans="1:15" x14ac:dyDescent="0.25">
      <c r="A7" s="2" t="s">
        <v>25</v>
      </c>
      <c r="B7" s="2" t="s">
        <v>26</v>
      </c>
      <c r="C7" s="3">
        <v>3.11</v>
      </c>
      <c r="D7" s="3">
        <v>3.13</v>
      </c>
      <c r="E7" s="3">
        <v>3.16</v>
      </c>
      <c r="F7" s="3">
        <v>3.18</v>
      </c>
      <c r="G7" s="3">
        <v>3.19</v>
      </c>
      <c r="H7" s="3">
        <v>3.21</v>
      </c>
      <c r="I7" s="3">
        <v>3.2</v>
      </c>
      <c r="J7" s="3">
        <v>3.23</v>
      </c>
      <c r="K7" s="3">
        <v>3.22</v>
      </c>
      <c r="L7" s="2"/>
      <c r="M7" s="2"/>
      <c r="N7" s="2"/>
      <c r="O7" s="3">
        <f t="shared" si="0"/>
        <v>3.181111111111111</v>
      </c>
    </row>
    <row r="8" spans="1:15" x14ac:dyDescent="0.25">
      <c r="A8" s="2" t="s">
        <v>27</v>
      </c>
      <c r="B8" s="2" t="s">
        <v>28</v>
      </c>
      <c r="C8" s="3">
        <v>2.86</v>
      </c>
      <c r="D8" s="3">
        <v>2.89</v>
      </c>
      <c r="E8" s="3">
        <v>2.92</v>
      </c>
      <c r="F8" s="3">
        <v>2.95</v>
      </c>
      <c r="G8" s="3">
        <v>2.97</v>
      </c>
      <c r="H8" s="3">
        <v>2.99</v>
      </c>
      <c r="I8" s="3">
        <v>3.02</v>
      </c>
      <c r="J8" s="3">
        <v>3.04</v>
      </c>
      <c r="K8" s="3">
        <v>3.01</v>
      </c>
      <c r="L8" s="2"/>
      <c r="M8" s="2"/>
      <c r="N8" s="2"/>
      <c r="O8" s="3">
        <f t="shared" si="0"/>
        <v>2.9611111111111108</v>
      </c>
    </row>
    <row r="9" spans="1:15" x14ac:dyDescent="0.25">
      <c r="A9" s="2" t="s">
        <v>29</v>
      </c>
      <c r="B9" s="2" t="s">
        <v>30</v>
      </c>
      <c r="C9" s="3">
        <v>3.24</v>
      </c>
      <c r="D9" s="3">
        <v>3.21</v>
      </c>
      <c r="E9" s="3">
        <v>3.26</v>
      </c>
      <c r="F9" s="3">
        <v>3.28</v>
      </c>
      <c r="G9" s="3">
        <v>3.3</v>
      </c>
      <c r="H9" s="3">
        <v>3.27</v>
      </c>
      <c r="I9" s="3">
        <v>3.31</v>
      </c>
      <c r="J9" s="3">
        <v>3.33</v>
      </c>
      <c r="K9" s="3">
        <v>3.29</v>
      </c>
      <c r="L9" s="2"/>
      <c r="M9" s="2"/>
      <c r="N9" s="2"/>
      <c r="O9" s="3">
        <f t="shared" si="0"/>
        <v>3.276666666666666</v>
      </c>
    </row>
    <row r="10" spans="1:15" x14ac:dyDescent="0.25">
      <c r="A10" s="2" t="s">
        <v>31</v>
      </c>
      <c r="B10" s="2" t="s">
        <v>32</v>
      </c>
      <c r="C10" s="3">
        <v>3</v>
      </c>
      <c r="D10" s="3">
        <v>3.02</v>
      </c>
      <c r="E10" s="3">
        <v>3.05</v>
      </c>
      <c r="F10" s="3">
        <v>3.07</v>
      </c>
      <c r="G10" s="3">
        <v>3.09</v>
      </c>
      <c r="H10" s="3">
        <v>3.11</v>
      </c>
      <c r="I10" s="3">
        <v>3.1</v>
      </c>
      <c r="J10" s="3">
        <v>3.13</v>
      </c>
      <c r="K10" s="3">
        <v>3.12</v>
      </c>
      <c r="L10" s="2"/>
      <c r="M10" s="2"/>
      <c r="N10" s="2"/>
      <c r="O10" s="3">
        <f t="shared" si="0"/>
        <v>3.0766666666666667</v>
      </c>
    </row>
    <row r="11" spans="1:15" x14ac:dyDescent="0.25">
      <c r="A11" s="2" t="s">
        <v>33</v>
      </c>
      <c r="B11" s="2" t="s">
        <v>34</v>
      </c>
      <c r="C11" s="3">
        <v>2.91</v>
      </c>
      <c r="D11" s="3">
        <v>2.94</v>
      </c>
      <c r="E11" s="3">
        <v>2.97</v>
      </c>
      <c r="F11" s="3">
        <v>2.99</v>
      </c>
      <c r="G11" s="3">
        <v>3.02</v>
      </c>
      <c r="H11" s="3">
        <v>3.04</v>
      </c>
      <c r="I11" s="3">
        <v>3.06</v>
      </c>
      <c r="J11" s="3">
        <v>3.08</v>
      </c>
      <c r="K11" s="3">
        <v>3.05</v>
      </c>
      <c r="L11" s="2"/>
      <c r="M11" s="2"/>
      <c r="N11" s="2"/>
      <c r="O11" s="3">
        <f t="shared" si="0"/>
        <v>3.0066666666666664</v>
      </c>
    </row>
    <row r="12" spans="1:15" x14ac:dyDescent="0.25">
      <c r="A12" s="2" t="s">
        <v>35</v>
      </c>
      <c r="B12" s="2" t="s">
        <v>36</v>
      </c>
      <c r="C12" s="3">
        <v>3.15</v>
      </c>
      <c r="D12" s="3">
        <v>3.17</v>
      </c>
      <c r="E12" s="3">
        <v>3.19</v>
      </c>
      <c r="F12" s="3">
        <v>3.21</v>
      </c>
      <c r="G12" s="3">
        <v>3.22</v>
      </c>
      <c r="H12" s="3">
        <v>3.24</v>
      </c>
      <c r="I12" s="3">
        <v>3.23</v>
      </c>
      <c r="J12" s="3">
        <v>3.25</v>
      </c>
      <c r="K12" s="3">
        <v>3.26</v>
      </c>
      <c r="L12" s="2"/>
      <c r="M12" s="2"/>
      <c r="N12" s="2"/>
      <c r="O12" s="3">
        <f t="shared" si="0"/>
        <v>3.2133333333333334</v>
      </c>
    </row>
    <row r="13" spans="1:15" x14ac:dyDescent="0.25">
      <c r="A13" s="2" t="s">
        <v>37</v>
      </c>
      <c r="B13" s="2" t="s">
        <v>38</v>
      </c>
      <c r="C13" s="3">
        <v>2.83</v>
      </c>
      <c r="D13" s="3">
        <v>2.87</v>
      </c>
      <c r="E13" s="3">
        <v>2.9</v>
      </c>
      <c r="F13" s="3">
        <v>2.93</v>
      </c>
      <c r="G13" s="3">
        <v>2.95</v>
      </c>
      <c r="H13" s="3">
        <v>2.98</v>
      </c>
      <c r="I13" s="3">
        <v>3</v>
      </c>
      <c r="J13" s="3">
        <v>3.02</v>
      </c>
      <c r="K13" s="3">
        <v>2.99</v>
      </c>
      <c r="L13" s="2"/>
      <c r="M13" s="2"/>
      <c r="N13" s="2"/>
      <c r="O13" s="3">
        <f t="shared" si="0"/>
        <v>2.9411111111111108</v>
      </c>
    </row>
    <row r="14" spans="1:15" x14ac:dyDescent="0.25">
      <c r="A14" s="2" t="s">
        <v>39</v>
      </c>
      <c r="B14" s="2" t="s">
        <v>40</v>
      </c>
      <c r="C14" s="3">
        <v>3.06</v>
      </c>
      <c r="D14" s="3">
        <v>3.09</v>
      </c>
      <c r="E14" s="3">
        <v>3.12</v>
      </c>
      <c r="F14" s="3">
        <v>3.14</v>
      </c>
      <c r="G14" s="3">
        <v>3.16</v>
      </c>
      <c r="H14" s="3">
        <v>3.18</v>
      </c>
      <c r="I14" s="3">
        <v>3.2</v>
      </c>
      <c r="J14" s="3">
        <v>3.19</v>
      </c>
      <c r="K14" s="3">
        <v>3.21</v>
      </c>
      <c r="L14" s="2"/>
      <c r="M14" s="2"/>
      <c r="N14" s="2"/>
      <c r="O14" s="3">
        <f t="shared" si="0"/>
        <v>3.1500000000000004</v>
      </c>
    </row>
    <row r="15" spans="1:15" x14ac:dyDescent="0.25">
      <c r="A15" s="2" t="s">
        <v>41</v>
      </c>
      <c r="B15" s="2" t="s">
        <v>42</v>
      </c>
      <c r="C15" s="3">
        <v>2.98</v>
      </c>
      <c r="D15" s="3">
        <v>3.01</v>
      </c>
      <c r="E15" s="3">
        <v>3.04</v>
      </c>
      <c r="F15" s="3">
        <v>3.07</v>
      </c>
      <c r="G15" s="3">
        <v>3.09</v>
      </c>
      <c r="H15" s="3">
        <v>3.11</v>
      </c>
      <c r="I15" s="3">
        <v>3.13</v>
      </c>
      <c r="J15" s="3">
        <v>3.15</v>
      </c>
      <c r="K15" s="3">
        <v>3.14</v>
      </c>
      <c r="L15" s="2"/>
      <c r="M15" s="2"/>
      <c r="N15" s="2"/>
      <c r="O15" s="3">
        <f t="shared" si="0"/>
        <v>3.08</v>
      </c>
    </row>
    <row r="16" spans="1:15" x14ac:dyDescent="0.25">
      <c r="A16" s="2" t="s">
        <v>43</v>
      </c>
      <c r="B16" s="2" t="s">
        <v>44</v>
      </c>
      <c r="C16" s="3">
        <v>3.12</v>
      </c>
      <c r="D16" s="3">
        <v>3.15</v>
      </c>
      <c r="E16" s="3">
        <v>3.18</v>
      </c>
      <c r="F16" s="3">
        <v>3.2</v>
      </c>
      <c r="G16" s="3">
        <v>3.23</v>
      </c>
      <c r="H16" s="3">
        <v>3.25</v>
      </c>
      <c r="I16" s="3">
        <v>3.24</v>
      </c>
      <c r="J16" s="3">
        <v>3.27</v>
      </c>
      <c r="K16" s="3">
        <v>3.26</v>
      </c>
      <c r="L16" s="2"/>
      <c r="M16" s="2"/>
      <c r="N16" s="2"/>
      <c r="O16" s="3">
        <f t="shared" si="0"/>
        <v>3.2111111111111108</v>
      </c>
    </row>
  </sheetData>
  <autoFilter ref="A1:P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16" customWidth="1"/>
    <col min="4" max="5" width="22" customWidth="1"/>
  </cols>
  <sheetData>
    <row r="1" spans="1: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 s="2" t="s">
        <v>2</v>
      </c>
      <c r="B2" s="3">
        <f>IFERROR(AVERAGE('Média Mensal'!C2:C16),"")</f>
        <v>3.0173333333333332</v>
      </c>
      <c r="C2" s="3">
        <v>3.2</v>
      </c>
      <c r="D2" s="2">
        <f>COUNT('Média Mensal'!C2:C16)</f>
        <v>15</v>
      </c>
      <c r="E2" s="2" t="str">
        <f t="shared" ref="E2:E13" si="0">IF(B2="","Sem dados",IF(B2&gt;=C2,"Meta atingida","Abaixo da meta"))</f>
        <v>Abaixo da meta</v>
      </c>
    </row>
    <row r="3" spans="1:5" x14ac:dyDescent="0.25">
      <c r="A3" s="2" t="s">
        <v>3</v>
      </c>
      <c r="B3" s="3">
        <f>IFERROR(AVERAGE('Média Mensal'!D2:D16),"")</f>
        <v>3.0439999999999996</v>
      </c>
      <c r="C3" s="3">
        <v>3.2</v>
      </c>
      <c r="D3" s="2">
        <f>COUNT('Média Mensal'!D2:D16)</f>
        <v>15</v>
      </c>
      <c r="E3" s="2" t="str">
        <f t="shared" si="0"/>
        <v>Abaixo da meta</v>
      </c>
    </row>
    <row r="4" spans="1:5" x14ac:dyDescent="0.25">
      <c r="A4" s="2" t="s">
        <v>4</v>
      </c>
      <c r="B4" s="3">
        <f>IFERROR(AVERAGE('Média Mensal'!E2:E16),"")</f>
        <v>3.071333333333333</v>
      </c>
      <c r="C4" s="3">
        <v>3.2</v>
      </c>
      <c r="D4" s="2">
        <f>COUNT('Média Mensal'!E2:E16)</f>
        <v>15</v>
      </c>
      <c r="E4" s="2" t="str">
        <f t="shared" si="0"/>
        <v>Abaixo da meta</v>
      </c>
    </row>
    <row r="5" spans="1:5" x14ac:dyDescent="0.25">
      <c r="A5" s="2" t="s">
        <v>5</v>
      </c>
      <c r="B5" s="3">
        <f>IFERROR(AVERAGE('Média Mensal'!F2:F16),"")</f>
        <v>3.0946666666666669</v>
      </c>
      <c r="C5" s="3">
        <v>3.2</v>
      </c>
      <c r="D5" s="2">
        <f>COUNT('Média Mensal'!F2:F16)</f>
        <v>15</v>
      </c>
      <c r="E5" s="2" t="str">
        <f t="shared" si="0"/>
        <v>Abaixo da meta</v>
      </c>
    </row>
    <row r="6" spans="1:5" x14ac:dyDescent="0.25">
      <c r="A6" s="2" t="s">
        <v>6</v>
      </c>
      <c r="B6" s="3">
        <f>IFERROR(AVERAGE('Média Mensal'!G2:G16),"")</f>
        <v>3.1166666666666671</v>
      </c>
      <c r="C6" s="3">
        <v>3.2</v>
      </c>
      <c r="D6" s="2">
        <f>COUNT('Média Mensal'!G2:G16)</f>
        <v>15</v>
      </c>
      <c r="E6" s="2" t="str">
        <f t="shared" si="0"/>
        <v>Abaixo da meta</v>
      </c>
    </row>
    <row r="7" spans="1:5" x14ac:dyDescent="0.25">
      <c r="A7" s="2" t="s">
        <v>7</v>
      </c>
      <c r="B7" s="3">
        <f>IFERROR(AVERAGE('Média Mensal'!H2:H16),"")</f>
        <v>3.1226666666666665</v>
      </c>
      <c r="C7" s="3">
        <v>3.2</v>
      </c>
      <c r="D7" s="2">
        <f>COUNT('Média Mensal'!H2:H16)</f>
        <v>15</v>
      </c>
      <c r="E7" s="2" t="str">
        <f t="shared" si="0"/>
        <v>Abaixo da meta</v>
      </c>
    </row>
    <row r="8" spans="1:5" x14ac:dyDescent="0.25">
      <c r="A8" s="2" t="s">
        <v>8</v>
      </c>
      <c r="B8" s="3">
        <f>IFERROR(AVERAGE('Média Mensal'!I2:I16),"")</f>
        <v>3.1426666666666665</v>
      </c>
      <c r="C8" s="3">
        <v>3.2</v>
      </c>
      <c r="D8" s="2">
        <f>COUNT('Média Mensal'!I2:I16)</f>
        <v>15</v>
      </c>
      <c r="E8" s="2" t="str">
        <f t="shared" si="0"/>
        <v>Abaixo da meta</v>
      </c>
    </row>
    <row r="9" spans="1:5" x14ac:dyDescent="0.25">
      <c r="A9" s="2" t="s">
        <v>9</v>
      </c>
      <c r="B9" s="3">
        <f>IFERROR(AVERAGE('Média Mensal'!J2:J16),"")</f>
        <v>3.162666666666667</v>
      </c>
      <c r="C9" s="3">
        <v>3.2</v>
      </c>
      <c r="D9" s="2">
        <f>COUNT('Média Mensal'!J2:J16)</f>
        <v>15</v>
      </c>
      <c r="E9" s="2" t="str">
        <f t="shared" si="0"/>
        <v>Abaixo da meta</v>
      </c>
    </row>
    <row r="10" spans="1:5" x14ac:dyDescent="0.25">
      <c r="A10" s="2" t="s">
        <v>10</v>
      </c>
      <c r="B10" s="3">
        <f>IFERROR(AVERAGE('Média Mensal'!K2:K16),"")</f>
        <v>3.1406666666666667</v>
      </c>
      <c r="C10" s="3">
        <v>3.2</v>
      </c>
      <c r="D10" s="2">
        <f>COUNT('Média Mensal'!K2:K16)</f>
        <v>15</v>
      </c>
      <c r="E10" s="2" t="str">
        <f t="shared" si="0"/>
        <v>Abaixo da meta</v>
      </c>
    </row>
    <row r="11" spans="1:5" x14ac:dyDescent="0.25">
      <c r="A11" s="2" t="s">
        <v>11</v>
      </c>
      <c r="B11" s="3" t="str">
        <f>IFERROR(AVERAGE('Média Mensal'!L2:L16),"")</f>
        <v/>
      </c>
      <c r="C11" s="3">
        <v>3.2</v>
      </c>
      <c r="D11" s="2">
        <f>COUNT('Média Mensal'!L2:L16)</f>
        <v>0</v>
      </c>
      <c r="E11" s="2" t="str">
        <f t="shared" si="0"/>
        <v>Sem dados</v>
      </c>
    </row>
    <row r="12" spans="1:5" x14ac:dyDescent="0.25">
      <c r="A12" s="2" t="s">
        <v>12</v>
      </c>
      <c r="B12" s="3" t="str">
        <f>IFERROR(AVERAGE('Média Mensal'!M2:M16),"")</f>
        <v/>
      </c>
      <c r="C12" s="3">
        <v>3.2</v>
      </c>
      <c r="D12" s="2">
        <f>COUNT('Média Mensal'!M2:M16)</f>
        <v>0</v>
      </c>
      <c r="E12" s="2" t="str">
        <f t="shared" si="0"/>
        <v>Sem dados</v>
      </c>
    </row>
    <row r="13" spans="1:5" x14ac:dyDescent="0.25">
      <c r="A13" s="2" t="s">
        <v>13</v>
      </c>
      <c r="B13" s="3" t="str">
        <f>IFERROR(AVERAGE('Média Mensal'!N2:N16),"")</f>
        <v/>
      </c>
      <c r="C13" s="3">
        <v>3.2</v>
      </c>
      <c r="D13" s="2">
        <f>COUNT('Média Mensal'!N2:N16)</f>
        <v>0</v>
      </c>
      <c r="E13" s="2" t="str">
        <f t="shared" si="0"/>
        <v>Sem dados</v>
      </c>
    </row>
  </sheetData>
  <conditionalFormatting sqref="B2:B13">
    <cfRule type="cellIs" dxfId="0" priority="1" operator="greaterThanOrEqual">
      <formula>3.2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5" x14ac:dyDescent="0.25"/>
  <cols>
    <col min="1" max="1" width="23" customWidth="1"/>
    <col min="2" max="2" width="14" customWidth="1"/>
    <col min="3" max="3" width="15" customWidth="1"/>
    <col min="4" max="4" width="35" customWidth="1"/>
  </cols>
  <sheetData>
    <row r="1" spans="1:4" x14ac:dyDescent="0.25">
      <c r="A1" s="1" t="s">
        <v>0</v>
      </c>
      <c r="B1" s="1" t="s">
        <v>1</v>
      </c>
      <c r="C1" s="1" t="s">
        <v>50</v>
      </c>
      <c r="D1" s="1" t="s">
        <v>51</v>
      </c>
    </row>
    <row r="2" spans="1:4" x14ac:dyDescent="0.25">
      <c r="A2" s="2" t="s">
        <v>15</v>
      </c>
      <c r="B2" s="2" t="s">
        <v>16</v>
      </c>
      <c r="C2" s="2" t="s">
        <v>52</v>
      </c>
      <c r="D2" s="2" t="s">
        <v>53</v>
      </c>
    </row>
    <row r="3" spans="1:4" x14ac:dyDescent="0.25">
      <c r="A3" s="2" t="s">
        <v>17</v>
      </c>
      <c r="B3" s="2" t="s">
        <v>18</v>
      </c>
      <c r="C3" s="2" t="s">
        <v>54</v>
      </c>
      <c r="D3" s="2" t="s">
        <v>53</v>
      </c>
    </row>
    <row r="4" spans="1:4" x14ac:dyDescent="0.25">
      <c r="A4" s="2" t="s">
        <v>19</v>
      </c>
      <c r="B4" s="2" t="s">
        <v>20</v>
      </c>
      <c r="C4" s="2" t="s">
        <v>55</v>
      </c>
      <c r="D4" s="2" t="s">
        <v>53</v>
      </c>
    </row>
    <row r="5" spans="1:4" x14ac:dyDescent="0.25">
      <c r="A5" s="2" t="s">
        <v>21</v>
      </c>
      <c r="B5" s="2" t="s">
        <v>22</v>
      </c>
      <c r="C5" s="2" t="s">
        <v>56</v>
      </c>
      <c r="D5" s="2" t="s">
        <v>53</v>
      </c>
    </row>
    <row r="6" spans="1:4" x14ac:dyDescent="0.25">
      <c r="A6" s="2" t="s">
        <v>23</v>
      </c>
      <c r="B6" s="2" t="s">
        <v>24</v>
      </c>
      <c r="C6" s="2" t="s">
        <v>57</v>
      </c>
      <c r="D6" s="2" t="s">
        <v>53</v>
      </c>
    </row>
    <row r="7" spans="1:4" x14ac:dyDescent="0.25">
      <c r="A7" s="2" t="s">
        <v>25</v>
      </c>
      <c r="B7" s="2" t="s">
        <v>26</v>
      </c>
      <c r="C7" s="2" t="s">
        <v>58</v>
      </c>
      <c r="D7" s="2" t="s">
        <v>53</v>
      </c>
    </row>
    <row r="8" spans="1:4" x14ac:dyDescent="0.25">
      <c r="A8" s="2" t="s">
        <v>27</v>
      </c>
      <c r="B8" s="2" t="s">
        <v>28</v>
      </c>
      <c r="C8" s="2" t="s">
        <v>59</v>
      </c>
      <c r="D8" s="2" t="s">
        <v>53</v>
      </c>
    </row>
    <row r="9" spans="1:4" x14ac:dyDescent="0.25">
      <c r="A9" s="2" t="s">
        <v>29</v>
      </c>
      <c r="B9" s="2" t="s">
        <v>30</v>
      </c>
      <c r="C9" s="2" t="s">
        <v>60</v>
      </c>
      <c r="D9" s="2" t="s">
        <v>53</v>
      </c>
    </row>
    <row r="10" spans="1:4" x14ac:dyDescent="0.25">
      <c r="A10" s="2" t="s">
        <v>31</v>
      </c>
      <c r="B10" s="2" t="s">
        <v>32</v>
      </c>
      <c r="C10" s="2" t="s">
        <v>61</v>
      </c>
      <c r="D10" s="2" t="s">
        <v>53</v>
      </c>
    </row>
    <row r="11" spans="1:4" x14ac:dyDescent="0.25">
      <c r="A11" s="2" t="s">
        <v>33</v>
      </c>
      <c r="B11" s="2" t="s">
        <v>34</v>
      </c>
      <c r="C11" s="2" t="s">
        <v>62</v>
      </c>
      <c r="D11" s="2" t="s">
        <v>53</v>
      </c>
    </row>
    <row r="12" spans="1:4" x14ac:dyDescent="0.25">
      <c r="A12" s="2" t="s">
        <v>35</v>
      </c>
      <c r="B12" s="2" t="s">
        <v>36</v>
      </c>
      <c r="C12" s="2" t="s">
        <v>63</v>
      </c>
      <c r="D12" s="2" t="s">
        <v>53</v>
      </c>
    </row>
    <row r="13" spans="1:4" x14ac:dyDescent="0.25">
      <c r="A13" s="2" t="s">
        <v>37</v>
      </c>
      <c r="B13" s="2" t="s">
        <v>38</v>
      </c>
      <c r="C13" s="2" t="s">
        <v>64</v>
      </c>
      <c r="D13" s="2" t="s">
        <v>53</v>
      </c>
    </row>
    <row r="14" spans="1:4" x14ac:dyDescent="0.25">
      <c r="A14" s="2" t="s">
        <v>39</v>
      </c>
      <c r="B14" s="2" t="s">
        <v>40</v>
      </c>
      <c r="C14" s="2" t="s">
        <v>65</v>
      </c>
      <c r="D14" s="2" t="s">
        <v>53</v>
      </c>
    </row>
    <row r="15" spans="1:4" x14ac:dyDescent="0.25">
      <c r="A15" s="2" t="s">
        <v>41</v>
      </c>
      <c r="B15" s="2" t="s">
        <v>42</v>
      </c>
      <c r="C15" s="2" t="s">
        <v>66</v>
      </c>
      <c r="D15" s="2" t="s">
        <v>53</v>
      </c>
    </row>
    <row r="16" spans="1:4" x14ac:dyDescent="0.25">
      <c r="A16" s="2" t="s">
        <v>43</v>
      </c>
      <c r="B16" s="2" t="s">
        <v>44</v>
      </c>
      <c r="C16" s="2" t="s">
        <v>67</v>
      </c>
      <c r="D16" s="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RowHeight="15" x14ac:dyDescent="0.25"/>
  <cols>
    <col min="1" max="1" width="115" customWidth="1"/>
  </cols>
  <sheetData>
    <row r="1" spans="1:1" ht="21" x14ac:dyDescent="0.25">
      <c r="A1" s="4" t="s">
        <v>68</v>
      </c>
    </row>
    <row r="2" spans="1:1" x14ac:dyDescent="0.25">
      <c r="A2" s="5"/>
    </row>
    <row r="3" spans="1:1" x14ac:dyDescent="0.25">
      <c r="A3" s="5" t="s">
        <v>69</v>
      </c>
    </row>
    <row r="4" spans="1:1" x14ac:dyDescent="0.25">
      <c r="A4" s="5" t="s">
        <v>70</v>
      </c>
    </row>
    <row r="5" spans="1:1" x14ac:dyDescent="0.25">
      <c r="A5" s="5" t="s">
        <v>71</v>
      </c>
    </row>
    <row r="6" spans="1:1" x14ac:dyDescent="0.25">
      <c r="A6" s="5"/>
    </row>
    <row r="7" spans="1:1" x14ac:dyDescent="0.25">
      <c r="A7" s="5" t="s">
        <v>72</v>
      </c>
    </row>
    <row r="8" spans="1:1" x14ac:dyDescent="0.25">
      <c r="A8" s="5" t="s">
        <v>73</v>
      </c>
    </row>
    <row r="9" spans="1:1" x14ac:dyDescent="0.25">
      <c r="A9" s="5" t="s">
        <v>74</v>
      </c>
    </row>
    <row r="10" spans="1:1" x14ac:dyDescent="0.25">
      <c r="A10" s="5" t="s">
        <v>75</v>
      </c>
    </row>
    <row r="11" spans="1:1" x14ac:dyDescent="0.25">
      <c r="A11" s="5" t="s">
        <v>76</v>
      </c>
    </row>
    <row r="12" spans="1:1" x14ac:dyDescent="0.25">
      <c r="A12" s="5" t="s">
        <v>77</v>
      </c>
    </row>
    <row r="13" spans="1:1" x14ac:dyDescent="0.25">
      <c r="A13" s="5"/>
    </row>
    <row r="14" spans="1:1" x14ac:dyDescent="0.25">
      <c r="A14" s="5" t="s">
        <v>78</v>
      </c>
    </row>
    <row r="15" spans="1:1" x14ac:dyDescent="0.25">
      <c r="A15" s="5" t="s">
        <v>79</v>
      </c>
    </row>
    <row r="16" spans="1:1" x14ac:dyDescent="0.25">
      <c r="A16" s="5" t="s">
        <v>80</v>
      </c>
    </row>
    <row r="17" spans="1:1" x14ac:dyDescent="0.25">
      <c r="A17" s="5" t="s">
        <v>81</v>
      </c>
    </row>
    <row r="18" spans="1:1" x14ac:dyDescent="0.25">
      <c r="A18" s="5" t="s">
        <v>82</v>
      </c>
    </row>
    <row r="19" spans="1:1" x14ac:dyDescent="0.25">
      <c r="A19" s="5" t="s">
        <v>83</v>
      </c>
    </row>
    <row r="20" spans="1:1" x14ac:dyDescent="0.25">
      <c r="A20" s="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Média Mensal</vt:lpstr>
      <vt:lpstr>Resumo Mensal</vt:lpstr>
      <vt:lpstr>Cadastro</vt:lpstr>
      <vt:lpstr>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Kauã da Silva Pereira</cp:lastModifiedBy>
  <dcterms:created xsi:type="dcterms:W3CDTF">2026-09-30T18:42:34Z</dcterms:created>
  <dcterms:modified xsi:type="dcterms:W3CDTF">2026-10-05T17:50:39Z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2026-10-05T17:50:39Z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195c7555-4c63-4eff-96c8-ffe4d7196613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</Properties>
</file>